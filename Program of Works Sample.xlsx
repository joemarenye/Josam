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358b0368417fe8/Documents/"/>
    </mc:Choice>
  </mc:AlternateContent>
  <xr:revisionPtr revIDLastSave="146" documentId="8_{5CDCBBEB-C558-4CE7-B577-3FF210D4EF00}" xr6:coauthVersionLast="47" xr6:coauthVersionMax="47" xr10:uidLastSave="{43DCF388-E113-430D-8083-DFC8FCA01336}"/>
  <bookViews>
    <workbookView xWindow="-108" yWindow="-108" windowWidth="23256" windowHeight="12456" xr2:uid="{F2914F89-B5CE-4639-9DCF-95E7C0178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6" i="1" l="1"/>
  <c r="H47" i="1"/>
  <c r="H48" i="1"/>
  <c r="H49" i="1"/>
  <c r="H50" i="1"/>
  <c r="H51" i="1"/>
  <c r="H52" i="1"/>
  <c r="H53" i="1"/>
  <c r="H54" i="1"/>
  <c r="H55" i="1"/>
  <c r="H56" i="1"/>
  <c r="H58" i="1"/>
  <c r="H59" i="1"/>
  <c r="H60" i="1"/>
  <c r="H61" i="1"/>
  <c r="H62" i="1"/>
  <c r="H64" i="1"/>
  <c r="H65" i="1"/>
  <c r="H66" i="1"/>
  <c r="H67" i="1"/>
  <c r="H23" i="1"/>
  <c r="H24" i="1"/>
  <c r="H25" i="1"/>
  <c r="H26" i="1"/>
  <c r="H27" i="1"/>
  <c r="H28" i="1"/>
  <c r="H29" i="1"/>
  <c r="H31" i="1"/>
  <c r="H32" i="1"/>
  <c r="H33" i="1"/>
  <c r="H34" i="1"/>
  <c r="H35" i="1"/>
  <c r="H36" i="1"/>
  <c r="H37" i="1"/>
  <c r="H38" i="1"/>
  <c r="H40" i="1"/>
  <c r="H41" i="1"/>
  <c r="H42" i="1"/>
  <c r="H43" i="1"/>
  <c r="H44" i="1"/>
  <c r="H17" i="1"/>
  <c r="H18" i="1"/>
  <c r="H19" i="1"/>
  <c r="H20" i="1"/>
  <c r="H21" i="1"/>
  <c r="H15" i="1"/>
  <c r="H14" i="1"/>
  <c r="H13" i="1"/>
  <c r="H12" i="1"/>
  <c r="H7" i="1"/>
  <c r="H8" i="1"/>
  <c r="H9" i="1"/>
  <c r="H10" i="1"/>
  <c r="H6" i="1"/>
  <c r="B7" i="1"/>
  <c r="B8" i="1" s="1"/>
  <c r="B9" i="1" s="1"/>
  <c r="B10" i="1" s="1"/>
  <c r="B13" i="1" s="1"/>
  <c r="B14" i="1" s="1"/>
  <c r="B15" i="1" s="1"/>
  <c r="B18" i="1" s="1"/>
  <c r="B19" i="1" s="1"/>
  <c r="B20" i="1" s="1"/>
  <c r="B21" i="1" s="1"/>
  <c r="A7" i="1"/>
  <c r="A8" i="1" s="1"/>
  <c r="A9" i="1" s="1"/>
  <c r="A10" i="1" s="1"/>
  <c r="A12" i="1" s="1"/>
  <c r="A13" i="1" s="1"/>
  <c r="A14" i="1" s="1"/>
  <c r="A15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<sst xmlns="http://schemas.openxmlformats.org/spreadsheetml/2006/main" count="141" uniqueCount="104">
  <si>
    <t>Predecessor</t>
  </si>
  <si>
    <t>Row Number</t>
  </si>
  <si>
    <t>Work Structure Code</t>
  </si>
  <si>
    <t>Activity Description</t>
  </si>
  <si>
    <t>Responsible Party</t>
  </si>
  <si>
    <t>Start Week</t>
  </si>
  <si>
    <t>Duration</t>
  </si>
  <si>
    <t>End Week</t>
  </si>
  <si>
    <t>% Complete</t>
  </si>
  <si>
    <t>Site Handover &amp; Possession</t>
  </si>
  <si>
    <t>Employer</t>
  </si>
  <si>
    <t>Contractor Mobilization</t>
  </si>
  <si>
    <t>Establish Site Office</t>
  </si>
  <si>
    <t>Erect Site Hoarding &amp; Fencing</t>
  </si>
  <si>
    <t>Site Safety Introduction</t>
  </si>
  <si>
    <t>Main Contractor</t>
  </si>
  <si>
    <t>HSE Officer</t>
  </si>
  <si>
    <t>Vegetation Clearance &amp; Grubbing</t>
  </si>
  <si>
    <t>Demolition of Existing Structures</t>
  </si>
  <si>
    <t>Removal of Demolition Debris</t>
  </si>
  <si>
    <t>Topsoil Strip &amp; Stockpile</t>
  </si>
  <si>
    <t>Demolition Sub</t>
  </si>
  <si>
    <t>Bulk Excavation - Cut to Fill</t>
  </si>
  <si>
    <t>Earthworks Sub</t>
  </si>
  <si>
    <t>Fill &amp; Compaction - Embankment</t>
  </si>
  <si>
    <t>Proof Roll &amp; CBR Testing</t>
  </si>
  <si>
    <t>Engineer/Lab</t>
  </si>
  <si>
    <t>Subgrade Trimming &amp; Final Shaping</t>
  </si>
  <si>
    <t>Geotextile Installation</t>
  </si>
  <si>
    <t>Setting Out Drainage Lines</t>
  </si>
  <si>
    <t>Surveyor</t>
  </si>
  <si>
    <t>Excavation of Drainage Trenches</t>
  </si>
  <si>
    <t>Drainage Sub</t>
  </si>
  <si>
    <t>Lay Storm Drainage Pipes</t>
  </si>
  <si>
    <t>Construct Manholes &amp; Inlet Chambers</t>
  </si>
  <si>
    <t>Backfill &amp; Compact Drainage Trenches</t>
  </si>
  <si>
    <t>CCTV Inspection &amp; Pressure Testing</t>
  </si>
  <si>
    <t>Utility Diversions - Water &amp; Electrical</t>
  </si>
  <si>
    <t>Utility Companies</t>
  </si>
  <si>
    <t>Setting Out Building Grid Lines</t>
  </si>
  <si>
    <t>Excavation for Foundations</t>
  </si>
  <si>
    <t>Blinding Concrete</t>
  </si>
  <si>
    <t>Foundation Reinforcement Fixing</t>
  </si>
  <si>
    <t>Steel Fixer Sub</t>
  </si>
  <si>
    <t>Foundation Formwork</t>
  </si>
  <si>
    <t>Formwork Sub</t>
  </si>
  <si>
    <t>Pour Foundation Concrete</t>
  </si>
  <si>
    <t>Concrete Sub</t>
  </si>
  <si>
    <t>Foundation Concrete Curing</t>
  </si>
  <si>
    <t>Waterproofing of Foundation</t>
  </si>
  <si>
    <t>Waterproofing Sub</t>
  </si>
  <si>
    <t>Hardcore Fill &amp; Compaction Below Slab</t>
  </si>
  <si>
    <t>DPM &amp; Insulation Layer</t>
  </si>
  <si>
    <t>Ground Floor Slab Reinforcement</t>
  </si>
  <si>
    <t>Cast In-Situ Ground Floor Slab</t>
  </si>
  <si>
    <t>Slab Curing &amp; Protection</t>
  </si>
  <si>
    <t>Columns Level 1 - Reinforcement &amp; Formwork</t>
  </si>
  <si>
    <t>Columns Level 1 - Concrete Pour</t>
  </si>
  <si>
    <t>Suspended Slab Level 1 - Formwork</t>
  </si>
  <si>
    <t>Suspended Slab Level 1 - Reinforcement</t>
  </si>
  <si>
    <t>Suspended Slab Level 1 - Concrete Pour</t>
  </si>
  <si>
    <t>Masonry Blockwork Level 1 Walls</t>
  </si>
  <si>
    <t>Masonry Sub</t>
  </si>
  <si>
    <t>Columns Level 2 - Reinforcement &amp; Formwork</t>
  </si>
  <si>
    <t>Columns Level 2 - Concrete Pour</t>
  </si>
  <si>
    <t>Suspended Slab Level 2 - Formwork</t>
  </si>
  <si>
    <t>Suspended Slab Level 2 - Reinforcement</t>
  </si>
  <si>
    <t>Suspended Slab Level 2 - Concrete Pour</t>
  </si>
  <si>
    <t>Roof Slab Construction</t>
  </si>
  <si>
    <t>Roof Screed &amp; Falls</t>
  </si>
  <si>
    <t>Waterproof Membrane Installation</t>
  </si>
  <si>
    <t>Roof Insulation &amp; Capping</t>
  </si>
  <si>
    <t>Rainwater Outlets &amp; Parapet Flashing</t>
  </si>
  <si>
    <t>Plumbing Sub</t>
  </si>
  <si>
    <t>Internal Plastering &amp; Screeding</t>
  </si>
  <si>
    <t>Plastering Sub</t>
  </si>
  <si>
    <t>Electrical First Fix</t>
  </si>
  <si>
    <t>Electrical Sub</t>
  </si>
  <si>
    <t>Plumbing First Fix</t>
  </si>
  <si>
    <t>External Rendering &amp; Cladding</t>
  </si>
  <si>
    <t>1.0  PROJECT MOBILIZATION</t>
  </si>
  <si>
    <t>2.0  SITE CLEARANCE &amp; DEMOLITION</t>
  </si>
  <si>
    <t>3.0  EARTHWORKS &amp; SUBGRADE PREPARATION</t>
  </si>
  <si>
    <t>4.0  STORM DRAINAGE &amp; SERVICES</t>
  </si>
  <si>
    <t xml:space="preserve">5.0  FOUNDATIONS </t>
  </si>
  <si>
    <t>6.0 GROUND FLOOR SLAB</t>
  </si>
  <si>
    <t>8.0  ROOF WORKS</t>
  </si>
  <si>
    <t xml:space="preserve">9.0  FINISHES </t>
  </si>
  <si>
    <t>7.0  SUPERSTRUCTURE</t>
  </si>
  <si>
    <t>Current Week</t>
  </si>
  <si>
    <t>LEGEND</t>
  </si>
  <si>
    <t>Mobilization</t>
  </si>
  <si>
    <t>Site Clearance</t>
  </si>
  <si>
    <t>Earthworks</t>
  </si>
  <si>
    <t>Storm Drainage</t>
  </si>
  <si>
    <t>Foundations</t>
  </si>
  <si>
    <t>Ground Floor Slab</t>
  </si>
  <si>
    <t>Superstructure</t>
  </si>
  <si>
    <t>Roof Works</t>
  </si>
  <si>
    <t>Finishes</t>
  </si>
  <si>
    <t>KEY</t>
  </si>
  <si>
    <t>Planned Bar</t>
  </si>
  <si>
    <t>Progress</t>
  </si>
  <si>
    <t>Today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</si>
</sst>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64B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92BC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vertical="center"/>
    </xf>
    <xf numFmtId="1" fontId="0" fillId="0" borderId="0" xfId="0" applyNumberFormat="1"/>
    <xf numFmtId="0" fontId="3" fillId="2" borderId="1" xfId="0" applyFont="1" applyFill="1" applyBorder="1" applyAlignment="1">
      <alignment wrapText="1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/>
    </xf>
    <xf numFmtId="0" fontId="3" fillId="7" borderId="1" xfId="0" applyFont="1" applyFill="1" applyBorder="1" applyAlignment="1">
      <alignment horizontal="center" textRotation="45"/>
    </xf>
    <xf numFmtId="0" fontId="3" fillId="9" borderId="1" xfId="0" applyFont="1" applyFill="1" applyBorder="1" applyAlignment="1">
      <alignment horizontal="center" textRotation="45"/>
    </xf>
    <xf numFmtId="0" fontId="3" fillId="11" borderId="1" xfId="0" applyFont="1" applyFill="1" applyBorder="1" applyAlignment="1">
      <alignment horizontal="center" textRotation="45"/>
    </xf>
    <xf numFmtId="0" fontId="3" fillId="10" borderId="1" xfId="0" applyFont="1" applyFill="1" applyBorder="1" applyAlignment="1">
      <alignment horizontal="center" textRotation="45"/>
    </xf>
    <xf numFmtId="0" fontId="3" fillId="5" borderId="1" xfId="0" applyFont="1" applyFill="1" applyBorder="1" applyAlignment="1">
      <alignment horizontal="center" textRotation="45"/>
    </xf>
    <xf numFmtId="0" fontId="3" fillId="4" borderId="1" xfId="0" applyFont="1" applyFill="1" applyBorder="1" applyAlignment="1">
      <alignment horizontal="center" textRotation="45" wrapText="1"/>
    </xf>
    <xf numFmtId="0" fontId="3" fillId="3" borderId="1" xfId="0" applyFont="1" applyFill="1" applyBorder="1" applyAlignment="1">
      <alignment horizontal="center" textRotation="45"/>
    </xf>
    <xf numFmtId="0" fontId="3" fillId="8" borderId="1" xfId="0" applyFont="1" applyFill="1" applyBorder="1" applyAlignment="1">
      <alignment horizontal="center" textRotation="45" wrapText="1"/>
    </xf>
    <xf numFmtId="0" fontId="3" fillId="6" borderId="1" xfId="0" applyFont="1" applyFill="1" applyBorder="1" applyAlignment="1">
      <alignment horizontal="center" textRotation="45" wrapText="1"/>
    </xf>
  </cellXfs>
  <cellStyles count="1">
    <cellStyle name="Normal" xfId="0" builtinId="0"/>
  </cellStyles>
  <dxfs count="12">
    <dxf>
      <fill>
        <patternFill patternType="none">
          <bgColor auto="1"/>
        </patternFill>
      </fill>
      <border>
        <left style="thin">
          <color rgb="FFFF0000"/>
        </left>
      </border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E92BC9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964B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colors>
    <mruColors>
      <color rgb="FFE92BC9"/>
      <color rgb="FF964B00"/>
      <color rgb="FFFFA3A3"/>
      <color rgb="FF160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0750-DD6C-43DD-B315-D05773631880}">
  <dimension ref="A1:BH67"/>
  <sheetViews>
    <sheetView tabSelected="1" zoomScale="110" zoomScaleNormal="110" workbookViewId="0">
      <pane xSplit="9" ySplit="4" topLeftCell="J5" activePane="bottomRight" state="frozen"/>
      <selection pane="topRight" activeCell="J1" sqref="J1"/>
      <selection pane="bottomLeft" activeCell="A2" sqref="A2"/>
      <selection pane="bottomRight" activeCell="U2" sqref="U2"/>
    </sheetView>
  </sheetViews>
  <sheetFormatPr defaultRowHeight="14.4" x14ac:dyDescent="0.3"/>
  <cols>
    <col min="1" max="1" width="12.109375" bestFit="1" customWidth="1"/>
    <col min="2" max="2" width="18.109375" bestFit="1" customWidth="1"/>
    <col min="3" max="3" width="42" style="5" bestFit="1" customWidth="1"/>
    <col min="4" max="4" width="11.21875" style="8" bestFit="1" customWidth="1"/>
    <col min="5" max="5" width="20.109375" bestFit="1" customWidth="1"/>
    <col min="6" max="6" width="7.21875" bestFit="1" customWidth="1"/>
    <col min="7" max="7" width="8.77734375" bestFit="1" customWidth="1"/>
    <col min="8" max="8" width="6.6640625" customWidth="1"/>
    <col min="9" max="9" width="9.5546875" bestFit="1" customWidth="1"/>
    <col min="10" max="18" width="2.6640625" bestFit="1" customWidth="1"/>
    <col min="19" max="60" width="3.77734375" customWidth="1"/>
  </cols>
  <sheetData>
    <row r="1" spans="1:60" ht="16.8" customHeight="1" x14ac:dyDescent="0.3">
      <c r="A1" s="5" t="s">
        <v>89</v>
      </c>
      <c r="B1" s="15">
        <v>3</v>
      </c>
    </row>
    <row r="2" spans="1:60" ht="55.2" customHeight="1" x14ac:dyDescent="0.3">
      <c r="A2" s="11" t="s">
        <v>90</v>
      </c>
      <c r="B2" s="26" t="s">
        <v>91</v>
      </c>
      <c r="C2" s="25" t="s">
        <v>92</v>
      </c>
      <c r="D2" s="24" t="s">
        <v>93</v>
      </c>
      <c r="E2" s="28" t="s">
        <v>94</v>
      </c>
      <c r="F2" s="20" t="s">
        <v>95</v>
      </c>
      <c r="G2" s="27" t="s">
        <v>96</v>
      </c>
      <c r="H2" s="21" t="s">
        <v>97</v>
      </c>
      <c r="I2" s="22" t="s">
        <v>98</v>
      </c>
      <c r="J2" s="23" t="s">
        <v>99</v>
      </c>
    </row>
    <row r="3" spans="1:60" ht="45.6" customHeight="1" x14ac:dyDescent="0.3">
      <c r="A3" s="11" t="s">
        <v>100</v>
      </c>
      <c r="B3" s="12" t="s">
        <v>101</v>
      </c>
      <c r="C3" s="13" t="s">
        <v>102</v>
      </c>
      <c r="D3" s="14" t="s">
        <v>103</v>
      </c>
      <c r="E3" s="14"/>
      <c r="F3" s="14"/>
      <c r="G3" s="14"/>
      <c r="H3" s="14"/>
      <c r="I3" s="14"/>
      <c r="J3" s="14"/>
    </row>
    <row r="4" spans="1:60" ht="23.4" customHeight="1" x14ac:dyDescent="0.3">
      <c r="A4" s="4" t="s">
        <v>1</v>
      </c>
      <c r="B4" s="4" t="s">
        <v>2</v>
      </c>
      <c r="C4" s="4" t="s">
        <v>3</v>
      </c>
      <c r="D4" s="6" t="s">
        <v>0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3">
        <v>1</v>
      </c>
      <c r="K4" s="3">
        <v>2</v>
      </c>
      <c r="L4" s="3">
        <v>3</v>
      </c>
      <c r="M4" s="3">
        <v>4</v>
      </c>
      <c r="N4" s="3">
        <v>5</v>
      </c>
      <c r="O4" s="3">
        <v>6</v>
      </c>
      <c r="P4" s="3">
        <v>7</v>
      </c>
      <c r="Q4" s="3">
        <v>8</v>
      </c>
      <c r="R4" s="3">
        <v>9</v>
      </c>
      <c r="S4" s="3">
        <v>10</v>
      </c>
      <c r="T4" s="3">
        <v>11</v>
      </c>
      <c r="U4" s="3">
        <v>12</v>
      </c>
      <c r="V4" s="3">
        <v>13</v>
      </c>
      <c r="W4" s="3">
        <v>14</v>
      </c>
      <c r="X4" s="3">
        <v>15</v>
      </c>
      <c r="Y4" s="3">
        <v>16</v>
      </c>
      <c r="Z4" s="3">
        <v>17</v>
      </c>
      <c r="AA4" s="3">
        <v>18</v>
      </c>
      <c r="AB4" s="3">
        <v>19</v>
      </c>
      <c r="AC4" s="3">
        <v>20</v>
      </c>
      <c r="AD4" s="3">
        <v>21</v>
      </c>
      <c r="AE4" s="3">
        <v>22</v>
      </c>
      <c r="AF4" s="3">
        <v>23</v>
      </c>
      <c r="AG4" s="3">
        <v>24</v>
      </c>
      <c r="AH4" s="3">
        <v>25</v>
      </c>
      <c r="AI4" s="3">
        <v>26</v>
      </c>
      <c r="AJ4" s="3">
        <v>27</v>
      </c>
      <c r="AK4" s="3">
        <v>28</v>
      </c>
      <c r="AL4" s="3">
        <v>29</v>
      </c>
      <c r="AM4" s="3">
        <v>30</v>
      </c>
      <c r="AN4" s="3">
        <v>31</v>
      </c>
      <c r="AO4" s="3">
        <v>32</v>
      </c>
      <c r="AP4" s="3">
        <v>33</v>
      </c>
      <c r="AQ4" s="3">
        <v>34</v>
      </c>
      <c r="AR4" s="3">
        <v>35</v>
      </c>
      <c r="AS4" s="3">
        <v>36</v>
      </c>
      <c r="AT4" s="3">
        <v>37</v>
      </c>
      <c r="AU4" s="3">
        <v>38</v>
      </c>
      <c r="AV4" s="3">
        <v>39</v>
      </c>
      <c r="AW4" s="3">
        <v>40</v>
      </c>
      <c r="AX4" s="3">
        <v>41</v>
      </c>
      <c r="AY4" s="3">
        <v>42</v>
      </c>
      <c r="AZ4" s="3">
        <v>43</v>
      </c>
      <c r="BA4" s="3">
        <v>44</v>
      </c>
      <c r="BB4" s="3">
        <v>45</v>
      </c>
      <c r="BC4" s="3">
        <v>46</v>
      </c>
      <c r="BD4" s="3">
        <v>47</v>
      </c>
      <c r="BE4" s="3">
        <v>48</v>
      </c>
      <c r="BF4" s="3">
        <v>49</v>
      </c>
      <c r="BG4" s="3">
        <v>50</v>
      </c>
      <c r="BH4" s="3">
        <v>51</v>
      </c>
    </row>
    <row r="5" spans="1:60" ht="21" x14ac:dyDescent="0.3">
      <c r="A5" s="16" t="s">
        <v>80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</row>
    <row r="6" spans="1:60" x14ac:dyDescent="0.3">
      <c r="A6" s="9">
        <v>1</v>
      </c>
      <c r="B6" s="2">
        <v>1</v>
      </c>
      <c r="C6" s="1" t="s">
        <v>9</v>
      </c>
      <c r="D6" s="7"/>
      <c r="E6" t="s">
        <v>10</v>
      </c>
      <c r="F6">
        <v>1</v>
      </c>
      <c r="G6">
        <v>1</v>
      </c>
      <c r="H6">
        <f>F6+G6-1</f>
        <v>1</v>
      </c>
      <c r="I6">
        <v>100</v>
      </c>
    </row>
    <row r="7" spans="1:60" x14ac:dyDescent="0.3">
      <c r="A7" s="9">
        <f>A6+1</f>
        <v>2</v>
      </c>
      <c r="B7" s="2">
        <f>B6+0.1</f>
        <v>1.1000000000000001</v>
      </c>
      <c r="C7" s="1" t="s">
        <v>11</v>
      </c>
      <c r="D7" s="7">
        <v>1</v>
      </c>
      <c r="E7" t="s">
        <v>15</v>
      </c>
      <c r="F7">
        <v>2</v>
      </c>
      <c r="G7">
        <v>2</v>
      </c>
      <c r="H7">
        <f t="shared" ref="H7:H67" si="0">F7+G7-1</f>
        <v>3</v>
      </c>
      <c r="I7">
        <v>100</v>
      </c>
    </row>
    <row r="8" spans="1:60" x14ac:dyDescent="0.3">
      <c r="A8" s="9">
        <f t="shared" ref="A8:A9" si="1">A7+1</f>
        <v>3</v>
      </c>
      <c r="B8" s="2">
        <f t="shared" ref="B8:B21" si="2">B7+0.1</f>
        <v>1.2000000000000002</v>
      </c>
      <c r="C8" s="1" t="s">
        <v>12</v>
      </c>
      <c r="D8" s="7">
        <v>2</v>
      </c>
      <c r="E8" t="s">
        <v>15</v>
      </c>
      <c r="F8">
        <v>2</v>
      </c>
      <c r="G8">
        <v>2</v>
      </c>
      <c r="H8">
        <f t="shared" si="0"/>
        <v>3</v>
      </c>
      <c r="I8">
        <v>100</v>
      </c>
    </row>
    <row r="9" spans="1:60" x14ac:dyDescent="0.3">
      <c r="A9" s="9">
        <f t="shared" si="1"/>
        <v>4</v>
      </c>
      <c r="B9" s="2">
        <f t="shared" si="2"/>
        <v>1.3000000000000003</v>
      </c>
      <c r="C9" s="1" t="s">
        <v>13</v>
      </c>
      <c r="D9" s="7">
        <v>2</v>
      </c>
      <c r="E9" t="s">
        <v>15</v>
      </c>
      <c r="F9">
        <v>2</v>
      </c>
      <c r="G9">
        <v>1</v>
      </c>
      <c r="H9">
        <f t="shared" si="0"/>
        <v>2</v>
      </c>
      <c r="I9">
        <v>100</v>
      </c>
    </row>
    <row r="10" spans="1:60" x14ac:dyDescent="0.3">
      <c r="A10" s="9">
        <f>A9+1</f>
        <v>5</v>
      </c>
      <c r="B10" s="2">
        <f t="shared" si="2"/>
        <v>1.4000000000000004</v>
      </c>
      <c r="C10" s="1" t="s">
        <v>14</v>
      </c>
      <c r="D10" s="7">
        <v>3</v>
      </c>
      <c r="E10" t="s">
        <v>16</v>
      </c>
      <c r="F10">
        <v>4</v>
      </c>
      <c r="G10">
        <v>1</v>
      </c>
      <c r="H10">
        <f t="shared" si="0"/>
        <v>4</v>
      </c>
      <c r="I10">
        <v>100</v>
      </c>
    </row>
    <row r="11" spans="1:60" ht="21" x14ac:dyDescent="0.3">
      <c r="A11" s="17" t="s">
        <v>81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 spans="1:60" x14ac:dyDescent="0.3">
      <c r="A12" s="9">
        <f>A10+1</f>
        <v>6</v>
      </c>
      <c r="B12" s="2">
        <v>2</v>
      </c>
      <c r="C12" s="5" t="s">
        <v>17</v>
      </c>
      <c r="D12" s="7">
        <v>5</v>
      </c>
      <c r="E12" t="s">
        <v>15</v>
      </c>
      <c r="F12">
        <v>5</v>
      </c>
      <c r="G12">
        <v>3</v>
      </c>
      <c r="H12">
        <f t="shared" si="0"/>
        <v>7</v>
      </c>
      <c r="I12">
        <v>100</v>
      </c>
    </row>
    <row r="13" spans="1:60" x14ac:dyDescent="0.3">
      <c r="A13" s="9">
        <f t="shared" ref="A13:A21" si="3">A12+1</f>
        <v>7</v>
      </c>
      <c r="B13" s="2">
        <f t="shared" si="2"/>
        <v>2.1</v>
      </c>
      <c r="C13" s="5" t="s">
        <v>18</v>
      </c>
      <c r="D13" s="7">
        <v>5</v>
      </c>
      <c r="E13" t="s">
        <v>21</v>
      </c>
      <c r="F13">
        <v>5</v>
      </c>
      <c r="G13">
        <v>4</v>
      </c>
      <c r="H13">
        <f t="shared" si="0"/>
        <v>8</v>
      </c>
      <c r="I13">
        <v>75</v>
      </c>
    </row>
    <row r="14" spans="1:60" x14ac:dyDescent="0.3">
      <c r="A14" s="9">
        <f t="shared" si="3"/>
        <v>8</v>
      </c>
      <c r="B14" s="2">
        <f t="shared" si="2"/>
        <v>2.2000000000000002</v>
      </c>
      <c r="C14" s="5" t="s">
        <v>19</v>
      </c>
      <c r="D14" s="7">
        <v>6</v>
      </c>
      <c r="E14" t="s">
        <v>15</v>
      </c>
      <c r="F14">
        <v>8</v>
      </c>
      <c r="G14">
        <v>2</v>
      </c>
      <c r="H14">
        <f t="shared" si="0"/>
        <v>9</v>
      </c>
    </row>
    <row r="15" spans="1:60" x14ac:dyDescent="0.3">
      <c r="A15" s="9">
        <f t="shared" si="3"/>
        <v>9</v>
      </c>
      <c r="B15" s="2">
        <f t="shared" si="2"/>
        <v>2.3000000000000003</v>
      </c>
      <c r="C15" s="5" t="s">
        <v>20</v>
      </c>
      <c r="D15" s="7">
        <v>6</v>
      </c>
      <c r="E15" t="s">
        <v>15</v>
      </c>
      <c r="F15">
        <v>8</v>
      </c>
      <c r="G15">
        <v>2</v>
      </c>
      <c r="H15">
        <f t="shared" si="0"/>
        <v>9</v>
      </c>
    </row>
    <row r="16" spans="1:60" ht="21" x14ac:dyDescent="0.3">
      <c r="A16" s="17" t="s">
        <v>82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spans="1:60" x14ac:dyDescent="0.3">
      <c r="A17" s="9">
        <f>A15+1</f>
        <v>10</v>
      </c>
      <c r="B17" s="2">
        <v>3</v>
      </c>
      <c r="C17" s="1" t="s">
        <v>22</v>
      </c>
      <c r="D17" s="7">
        <v>9</v>
      </c>
      <c r="E17" t="s">
        <v>23</v>
      </c>
      <c r="F17">
        <v>10</v>
      </c>
      <c r="G17">
        <v>4</v>
      </c>
      <c r="H17">
        <f t="shared" si="0"/>
        <v>13</v>
      </c>
    </row>
    <row r="18" spans="1:60" x14ac:dyDescent="0.3">
      <c r="A18" s="9">
        <f t="shared" si="3"/>
        <v>11</v>
      </c>
      <c r="B18" s="2">
        <f t="shared" si="2"/>
        <v>3.1</v>
      </c>
      <c r="C18" s="1" t="s">
        <v>24</v>
      </c>
      <c r="D18" s="7">
        <v>10</v>
      </c>
      <c r="E18" t="s">
        <v>23</v>
      </c>
      <c r="F18">
        <v>10</v>
      </c>
      <c r="G18">
        <v>3</v>
      </c>
      <c r="H18">
        <f t="shared" si="0"/>
        <v>12</v>
      </c>
    </row>
    <row r="19" spans="1:60" x14ac:dyDescent="0.3">
      <c r="A19" s="9">
        <f t="shared" si="3"/>
        <v>12</v>
      </c>
      <c r="B19" s="2">
        <f t="shared" si="2"/>
        <v>3.2</v>
      </c>
      <c r="C19" s="1" t="s">
        <v>25</v>
      </c>
      <c r="D19" s="7">
        <v>11</v>
      </c>
      <c r="E19" t="s">
        <v>26</v>
      </c>
      <c r="F19">
        <v>13</v>
      </c>
      <c r="G19">
        <v>1</v>
      </c>
      <c r="H19">
        <f t="shared" si="0"/>
        <v>13</v>
      </c>
    </row>
    <row r="20" spans="1:60" x14ac:dyDescent="0.3">
      <c r="A20" s="9">
        <f t="shared" si="3"/>
        <v>13</v>
      </c>
      <c r="B20" s="2">
        <f t="shared" si="2"/>
        <v>3.3000000000000003</v>
      </c>
      <c r="C20" s="1" t="s">
        <v>27</v>
      </c>
      <c r="D20" s="7">
        <v>12</v>
      </c>
      <c r="E20" t="s">
        <v>26</v>
      </c>
      <c r="F20">
        <v>14</v>
      </c>
      <c r="G20">
        <v>1</v>
      </c>
      <c r="H20">
        <f t="shared" si="0"/>
        <v>14</v>
      </c>
    </row>
    <row r="21" spans="1:60" x14ac:dyDescent="0.3">
      <c r="A21" s="9">
        <f t="shared" si="3"/>
        <v>14</v>
      </c>
      <c r="B21" s="2">
        <f t="shared" si="2"/>
        <v>3.4000000000000004</v>
      </c>
      <c r="C21" s="1" t="s">
        <v>28</v>
      </c>
      <c r="D21" s="7">
        <v>13</v>
      </c>
      <c r="E21" t="s">
        <v>15</v>
      </c>
      <c r="F21">
        <v>15</v>
      </c>
      <c r="G21">
        <v>1</v>
      </c>
      <c r="H21">
        <f t="shared" si="0"/>
        <v>15</v>
      </c>
    </row>
    <row r="22" spans="1:60" ht="21" x14ac:dyDescent="0.3">
      <c r="A22" s="18" t="s">
        <v>83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</row>
    <row r="23" spans="1:60" x14ac:dyDescent="0.3">
      <c r="A23" s="9">
        <v>15</v>
      </c>
      <c r="B23" s="2">
        <v>4.0999999999999996</v>
      </c>
      <c r="C23" s="1" t="s">
        <v>29</v>
      </c>
      <c r="D23" s="7">
        <v>9</v>
      </c>
      <c r="E23" t="s">
        <v>30</v>
      </c>
      <c r="F23">
        <v>10</v>
      </c>
      <c r="G23">
        <v>1</v>
      </c>
      <c r="H23">
        <f t="shared" si="0"/>
        <v>10</v>
      </c>
    </row>
    <row r="24" spans="1:60" x14ac:dyDescent="0.3">
      <c r="A24" s="10">
        <v>16</v>
      </c>
      <c r="B24">
        <v>4.2</v>
      </c>
      <c r="C24" s="5" t="s">
        <v>31</v>
      </c>
      <c r="D24" s="8">
        <v>15</v>
      </c>
      <c r="E24" t="s">
        <v>32</v>
      </c>
      <c r="F24">
        <v>11</v>
      </c>
      <c r="G24">
        <v>3</v>
      </c>
      <c r="H24">
        <f t="shared" si="0"/>
        <v>13</v>
      </c>
    </row>
    <row r="25" spans="1:60" x14ac:dyDescent="0.3">
      <c r="A25" s="10">
        <v>17</v>
      </c>
      <c r="B25">
        <v>4.3</v>
      </c>
      <c r="C25" s="5" t="s">
        <v>33</v>
      </c>
      <c r="D25" s="8">
        <v>16</v>
      </c>
      <c r="E25" t="s">
        <v>32</v>
      </c>
      <c r="F25">
        <v>14</v>
      </c>
      <c r="G25">
        <v>4</v>
      </c>
      <c r="H25">
        <f t="shared" si="0"/>
        <v>17</v>
      </c>
    </row>
    <row r="26" spans="1:60" x14ac:dyDescent="0.3">
      <c r="A26" s="10">
        <v>18</v>
      </c>
      <c r="B26">
        <v>4.4000000000000004</v>
      </c>
      <c r="C26" s="5" t="s">
        <v>34</v>
      </c>
      <c r="D26" s="8">
        <v>17</v>
      </c>
      <c r="E26" t="s">
        <v>32</v>
      </c>
      <c r="F26">
        <v>17</v>
      </c>
      <c r="G26">
        <v>3</v>
      </c>
      <c r="H26">
        <f t="shared" si="0"/>
        <v>19</v>
      </c>
    </row>
    <row r="27" spans="1:60" x14ac:dyDescent="0.3">
      <c r="A27" s="10">
        <v>19</v>
      </c>
      <c r="B27">
        <v>4.5</v>
      </c>
      <c r="C27" s="5" t="s">
        <v>35</v>
      </c>
      <c r="D27" s="8">
        <v>18</v>
      </c>
      <c r="E27" t="s">
        <v>15</v>
      </c>
      <c r="F27">
        <v>20</v>
      </c>
      <c r="G27">
        <v>2</v>
      </c>
      <c r="H27">
        <f t="shared" si="0"/>
        <v>21</v>
      </c>
    </row>
    <row r="28" spans="1:60" x14ac:dyDescent="0.3">
      <c r="A28" s="10">
        <v>20</v>
      </c>
      <c r="B28">
        <v>4.5999999999999996</v>
      </c>
      <c r="C28" s="5" t="s">
        <v>36</v>
      </c>
      <c r="D28" s="8">
        <v>19</v>
      </c>
      <c r="E28" t="s">
        <v>32</v>
      </c>
      <c r="F28">
        <v>22</v>
      </c>
      <c r="G28">
        <v>1</v>
      </c>
      <c r="H28">
        <f t="shared" si="0"/>
        <v>22</v>
      </c>
    </row>
    <row r="29" spans="1:60" x14ac:dyDescent="0.3">
      <c r="A29" s="10">
        <v>21</v>
      </c>
      <c r="B29">
        <v>4.7</v>
      </c>
      <c r="C29" s="5" t="s">
        <v>37</v>
      </c>
      <c r="D29" s="8">
        <v>9</v>
      </c>
      <c r="E29" t="s">
        <v>38</v>
      </c>
      <c r="F29">
        <v>10</v>
      </c>
      <c r="G29">
        <v>5</v>
      </c>
      <c r="H29">
        <f t="shared" si="0"/>
        <v>14</v>
      </c>
    </row>
    <row r="30" spans="1:60" ht="21" x14ac:dyDescent="0.4">
      <c r="A30" s="19" t="s">
        <v>84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</row>
    <row r="31" spans="1:60" x14ac:dyDescent="0.3">
      <c r="A31" s="10">
        <v>22</v>
      </c>
      <c r="B31">
        <v>5.0999999999999996</v>
      </c>
      <c r="C31" s="1" t="s">
        <v>39</v>
      </c>
      <c r="D31" s="8">
        <v>14</v>
      </c>
      <c r="E31" t="s">
        <v>30</v>
      </c>
      <c r="F31">
        <v>16</v>
      </c>
      <c r="G31">
        <v>1</v>
      </c>
      <c r="H31">
        <f t="shared" si="0"/>
        <v>16</v>
      </c>
    </row>
    <row r="32" spans="1:60" x14ac:dyDescent="0.3">
      <c r="A32" s="10">
        <v>23</v>
      </c>
      <c r="B32">
        <v>5.2</v>
      </c>
      <c r="C32" s="5" t="s">
        <v>40</v>
      </c>
      <c r="D32" s="8">
        <v>22</v>
      </c>
      <c r="E32" t="s">
        <v>15</v>
      </c>
      <c r="F32">
        <v>17</v>
      </c>
      <c r="G32">
        <v>2</v>
      </c>
      <c r="H32">
        <f t="shared" si="0"/>
        <v>18</v>
      </c>
    </row>
    <row r="33" spans="1:60" x14ac:dyDescent="0.3">
      <c r="A33" s="10">
        <v>24</v>
      </c>
      <c r="B33">
        <v>5.3</v>
      </c>
      <c r="C33" s="5" t="s">
        <v>41</v>
      </c>
      <c r="D33" s="8">
        <v>23</v>
      </c>
      <c r="E33" t="s">
        <v>15</v>
      </c>
      <c r="F33">
        <v>19</v>
      </c>
      <c r="G33">
        <v>1</v>
      </c>
      <c r="H33">
        <f t="shared" si="0"/>
        <v>19</v>
      </c>
    </row>
    <row r="34" spans="1:60" x14ac:dyDescent="0.3">
      <c r="A34" s="10">
        <v>25</v>
      </c>
      <c r="B34">
        <v>5.4</v>
      </c>
      <c r="C34" s="5" t="s">
        <v>42</v>
      </c>
      <c r="D34" s="8">
        <v>24</v>
      </c>
      <c r="E34" t="s">
        <v>43</v>
      </c>
      <c r="F34">
        <v>20</v>
      </c>
      <c r="G34">
        <v>2</v>
      </c>
      <c r="H34">
        <f t="shared" si="0"/>
        <v>21</v>
      </c>
    </row>
    <row r="35" spans="1:60" x14ac:dyDescent="0.3">
      <c r="A35" s="10">
        <v>26</v>
      </c>
      <c r="B35">
        <v>5.5</v>
      </c>
      <c r="C35" s="5" t="s">
        <v>44</v>
      </c>
      <c r="D35" s="8">
        <v>25</v>
      </c>
      <c r="E35" t="s">
        <v>45</v>
      </c>
      <c r="F35">
        <v>20</v>
      </c>
      <c r="G35">
        <v>1</v>
      </c>
      <c r="H35">
        <f t="shared" si="0"/>
        <v>20</v>
      </c>
    </row>
    <row r="36" spans="1:60" x14ac:dyDescent="0.3">
      <c r="A36" s="10">
        <v>27</v>
      </c>
      <c r="B36">
        <v>5.6</v>
      </c>
      <c r="C36" s="5" t="s">
        <v>46</v>
      </c>
      <c r="D36" s="8">
        <v>26</v>
      </c>
      <c r="E36" t="s">
        <v>47</v>
      </c>
      <c r="F36">
        <v>21</v>
      </c>
      <c r="G36">
        <v>1</v>
      </c>
      <c r="H36">
        <f t="shared" si="0"/>
        <v>21</v>
      </c>
    </row>
    <row r="37" spans="1:60" x14ac:dyDescent="0.3">
      <c r="A37" s="10">
        <v>28</v>
      </c>
      <c r="B37">
        <v>5.7</v>
      </c>
      <c r="C37" s="5" t="s">
        <v>48</v>
      </c>
      <c r="D37" s="8">
        <v>27</v>
      </c>
      <c r="E37" t="s">
        <v>15</v>
      </c>
      <c r="F37">
        <v>22</v>
      </c>
      <c r="G37">
        <v>1</v>
      </c>
      <c r="H37">
        <f t="shared" si="0"/>
        <v>22</v>
      </c>
    </row>
    <row r="38" spans="1:60" x14ac:dyDescent="0.3">
      <c r="A38" s="10">
        <v>29</v>
      </c>
      <c r="B38">
        <v>5.8</v>
      </c>
      <c r="C38" s="5" t="s">
        <v>49</v>
      </c>
      <c r="D38" s="8">
        <v>28</v>
      </c>
      <c r="E38" t="s">
        <v>50</v>
      </c>
      <c r="F38">
        <v>23</v>
      </c>
      <c r="G38">
        <v>1</v>
      </c>
      <c r="H38">
        <f t="shared" si="0"/>
        <v>23</v>
      </c>
    </row>
    <row r="39" spans="1:60" ht="21" x14ac:dyDescent="0.4">
      <c r="A39" s="19" t="s">
        <v>85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</row>
    <row r="40" spans="1:60" x14ac:dyDescent="0.3">
      <c r="A40" s="10">
        <v>30</v>
      </c>
      <c r="B40">
        <v>6.1</v>
      </c>
      <c r="C40" s="5" t="s">
        <v>51</v>
      </c>
      <c r="D40" s="8">
        <v>29</v>
      </c>
      <c r="E40" t="s">
        <v>15</v>
      </c>
      <c r="F40">
        <v>24</v>
      </c>
      <c r="G40">
        <v>1</v>
      </c>
      <c r="H40">
        <f t="shared" si="0"/>
        <v>24</v>
      </c>
    </row>
    <row r="41" spans="1:60" x14ac:dyDescent="0.3">
      <c r="A41" s="10">
        <v>31</v>
      </c>
      <c r="B41">
        <v>6.2</v>
      </c>
      <c r="C41" s="5" t="s">
        <v>52</v>
      </c>
      <c r="D41" s="8">
        <v>30</v>
      </c>
      <c r="E41" t="s">
        <v>15</v>
      </c>
      <c r="F41">
        <v>25</v>
      </c>
      <c r="G41">
        <v>1</v>
      </c>
      <c r="H41">
        <f t="shared" si="0"/>
        <v>25</v>
      </c>
    </row>
    <row r="42" spans="1:60" x14ac:dyDescent="0.3">
      <c r="A42" s="10">
        <v>32</v>
      </c>
      <c r="B42">
        <v>6.3</v>
      </c>
      <c r="C42" s="5" t="s">
        <v>53</v>
      </c>
      <c r="D42" s="8">
        <v>31</v>
      </c>
      <c r="E42" t="s">
        <v>43</v>
      </c>
      <c r="F42">
        <v>25</v>
      </c>
      <c r="G42">
        <v>1</v>
      </c>
      <c r="H42">
        <f t="shared" si="0"/>
        <v>25</v>
      </c>
    </row>
    <row r="43" spans="1:60" x14ac:dyDescent="0.3">
      <c r="A43" s="10">
        <v>33</v>
      </c>
      <c r="B43">
        <v>6.4</v>
      </c>
      <c r="C43" s="5" t="s">
        <v>54</v>
      </c>
      <c r="D43" s="8">
        <v>32</v>
      </c>
      <c r="E43" t="s">
        <v>47</v>
      </c>
      <c r="F43">
        <v>26</v>
      </c>
      <c r="G43">
        <v>1</v>
      </c>
      <c r="H43">
        <f t="shared" si="0"/>
        <v>26</v>
      </c>
    </row>
    <row r="44" spans="1:60" x14ac:dyDescent="0.3">
      <c r="A44" s="10">
        <v>34</v>
      </c>
      <c r="B44">
        <v>6.5</v>
      </c>
      <c r="C44" s="5" t="s">
        <v>55</v>
      </c>
      <c r="D44" s="8">
        <v>33</v>
      </c>
      <c r="E44" t="s">
        <v>15</v>
      </c>
      <c r="F44">
        <v>27</v>
      </c>
      <c r="G44">
        <v>1</v>
      </c>
      <c r="H44">
        <f t="shared" si="0"/>
        <v>27</v>
      </c>
    </row>
    <row r="45" spans="1:60" ht="21" x14ac:dyDescent="0.4">
      <c r="A45" s="19" t="s">
        <v>88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</row>
    <row r="46" spans="1:60" x14ac:dyDescent="0.3">
      <c r="A46" s="10">
        <v>35</v>
      </c>
      <c r="B46">
        <v>7.1</v>
      </c>
      <c r="C46" s="5" t="s">
        <v>56</v>
      </c>
      <c r="D46" s="8">
        <v>34</v>
      </c>
      <c r="E46" t="s">
        <v>43</v>
      </c>
      <c r="F46">
        <v>28</v>
      </c>
      <c r="G46">
        <v>2</v>
      </c>
      <c r="H46">
        <f t="shared" si="0"/>
        <v>29</v>
      </c>
    </row>
    <row r="47" spans="1:60" x14ac:dyDescent="0.3">
      <c r="A47" s="10">
        <v>36</v>
      </c>
      <c r="B47">
        <v>7.2</v>
      </c>
      <c r="C47" s="5" t="s">
        <v>57</v>
      </c>
      <c r="D47" s="8">
        <v>35</v>
      </c>
      <c r="E47" t="s">
        <v>47</v>
      </c>
      <c r="F47">
        <v>30</v>
      </c>
      <c r="G47">
        <v>1</v>
      </c>
      <c r="H47">
        <f t="shared" si="0"/>
        <v>30</v>
      </c>
    </row>
    <row r="48" spans="1:60" x14ac:dyDescent="0.3">
      <c r="A48" s="10">
        <v>37</v>
      </c>
      <c r="B48">
        <v>7.3</v>
      </c>
      <c r="C48" s="5" t="s">
        <v>58</v>
      </c>
      <c r="D48" s="8">
        <v>36</v>
      </c>
      <c r="E48" t="s">
        <v>45</v>
      </c>
      <c r="F48">
        <v>31</v>
      </c>
      <c r="G48">
        <v>2</v>
      </c>
      <c r="H48">
        <f t="shared" si="0"/>
        <v>32</v>
      </c>
    </row>
    <row r="49" spans="1:60" x14ac:dyDescent="0.3">
      <c r="A49" s="10">
        <v>38</v>
      </c>
      <c r="B49">
        <v>7.4</v>
      </c>
      <c r="C49" s="5" t="s">
        <v>59</v>
      </c>
      <c r="D49" s="8">
        <v>37</v>
      </c>
      <c r="E49" t="s">
        <v>43</v>
      </c>
      <c r="F49">
        <v>31</v>
      </c>
      <c r="G49">
        <v>2</v>
      </c>
      <c r="H49">
        <f t="shared" si="0"/>
        <v>32</v>
      </c>
    </row>
    <row r="50" spans="1:60" x14ac:dyDescent="0.3">
      <c r="A50" s="10">
        <v>39</v>
      </c>
      <c r="B50">
        <v>7.5</v>
      </c>
      <c r="C50" s="5" t="s">
        <v>60</v>
      </c>
      <c r="D50" s="8">
        <v>38</v>
      </c>
      <c r="E50" t="s">
        <v>47</v>
      </c>
      <c r="F50">
        <v>33</v>
      </c>
      <c r="G50">
        <v>1</v>
      </c>
      <c r="H50">
        <f t="shared" si="0"/>
        <v>33</v>
      </c>
    </row>
    <row r="51" spans="1:60" x14ac:dyDescent="0.3">
      <c r="A51" s="10">
        <v>40</v>
      </c>
      <c r="B51">
        <v>7.6</v>
      </c>
      <c r="C51" s="5" t="s">
        <v>61</v>
      </c>
      <c r="D51" s="8">
        <v>39</v>
      </c>
      <c r="E51" t="s">
        <v>62</v>
      </c>
      <c r="F51">
        <v>34</v>
      </c>
      <c r="G51">
        <v>3</v>
      </c>
      <c r="H51">
        <f t="shared" si="0"/>
        <v>36</v>
      </c>
    </row>
    <row r="52" spans="1:60" x14ac:dyDescent="0.3">
      <c r="A52" s="10">
        <v>41</v>
      </c>
      <c r="B52">
        <v>7.7</v>
      </c>
      <c r="C52" s="5" t="s">
        <v>63</v>
      </c>
      <c r="D52" s="8">
        <v>39</v>
      </c>
      <c r="E52" t="s">
        <v>43</v>
      </c>
      <c r="F52">
        <v>34</v>
      </c>
      <c r="G52">
        <v>2</v>
      </c>
      <c r="H52">
        <f t="shared" si="0"/>
        <v>35</v>
      </c>
    </row>
    <row r="53" spans="1:60" x14ac:dyDescent="0.3">
      <c r="A53" s="10">
        <v>42</v>
      </c>
      <c r="B53">
        <v>7.8</v>
      </c>
      <c r="C53" s="5" t="s">
        <v>64</v>
      </c>
      <c r="D53" s="8">
        <v>41</v>
      </c>
      <c r="E53" t="s">
        <v>47</v>
      </c>
      <c r="F53">
        <v>36</v>
      </c>
      <c r="G53">
        <v>1</v>
      </c>
      <c r="H53">
        <f t="shared" si="0"/>
        <v>36</v>
      </c>
    </row>
    <row r="54" spans="1:60" x14ac:dyDescent="0.3">
      <c r="A54" s="10">
        <v>43</v>
      </c>
      <c r="B54">
        <v>7.9</v>
      </c>
      <c r="C54" s="5" t="s">
        <v>65</v>
      </c>
      <c r="D54" s="8">
        <v>42</v>
      </c>
      <c r="E54" t="s">
        <v>45</v>
      </c>
      <c r="F54">
        <v>37</v>
      </c>
      <c r="G54">
        <v>2</v>
      </c>
      <c r="H54">
        <f t="shared" si="0"/>
        <v>38</v>
      </c>
    </row>
    <row r="55" spans="1:60" x14ac:dyDescent="0.3">
      <c r="A55" s="10">
        <v>44</v>
      </c>
      <c r="B55">
        <v>7.1</v>
      </c>
      <c r="C55" s="5" t="s">
        <v>66</v>
      </c>
      <c r="D55" s="8">
        <v>43</v>
      </c>
      <c r="E55" t="s">
        <v>43</v>
      </c>
      <c r="F55">
        <v>37</v>
      </c>
      <c r="G55">
        <v>2</v>
      </c>
      <c r="H55">
        <f t="shared" si="0"/>
        <v>38</v>
      </c>
    </row>
    <row r="56" spans="1:60" x14ac:dyDescent="0.3">
      <c r="A56" s="10">
        <v>45</v>
      </c>
      <c r="B56">
        <v>7.11</v>
      </c>
      <c r="C56" s="5" t="s">
        <v>67</v>
      </c>
      <c r="D56" s="8">
        <v>44</v>
      </c>
      <c r="E56" t="s">
        <v>47</v>
      </c>
      <c r="F56">
        <v>39</v>
      </c>
      <c r="G56">
        <v>1</v>
      </c>
      <c r="H56">
        <f t="shared" si="0"/>
        <v>39</v>
      </c>
    </row>
    <row r="57" spans="1:60" ht="21" x14ac:dyDescent="0.4">
      <c r="A57" s="19" t="s">
        <v>86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</row>
    <row r="58" spans="1:60" x14ac:dyDescent="0.3">
      <c r="A58" s="10">
        <v>46</v>
      </c>
      <c r="B58">
        <v>8.1</v>
      </c>
      <c r="C58" s="5" t="s">
        <v>68</v>
      </c>
      <c r="D58" s="8">
        <v>45</v>
      </c>
      <c r="E58" t="s">
        <v>47</v>
      </c>
      <c r="F58">
        <v>40</v>
      </c>
      <c r="G58">
        <v>2</v>
      </c>
      <c r="H58">
        <f t="shared" si="0"/>
        <v>41</v>
      </c>
    </row>
    <row r="59" spans="1:60" x14ac:dyDescent="0.3">
      <c r="A59" s="10">
        <v>47</v>
      </c>
      <c r="B59">
        <v>8.1999999999999993</v>
      </c>
      <c r="C59" s="5" t="s">
        <v>69</v>
      </c>
      <c r="D59" s="8">
        <v>46</v>
      </c>
      <c r="E59" t="s">
        <v>15</v>
      </c>
      <c r="F59">
        <v>42</v>
      </c>
      <c r="G59">
        <v>1</v>
      </c>
      <c r="H59">
        <f t="shared" si="0"/>
        <v>42</v>
      </c>
    </row>
    <row r="60" spans="1:60" x14ac:dyDescent="0.3">
      <c r="A60" s="10">
        <v>48</v>
      </c>
      <c r="B60">
        <v>8.3000000000000007</v>
      </c>
      <c r="C60" s="5" t="s">
        <v>70</v>
      </c>
      <c r="D60" s="8">
        <v>47</v>
      </c>
      <c r="E60" t="s">
        <v>50</v>
      </c>
      <c r="F60">
        <v>43</v>
      </c>
      <c r="G60">
        <v>2</v>
      </c>
      <c r="H60">
        <f t="shared" si="0"/>
        <v>44</v>
      </c>
    </row>
    <row r="61" spans="1:60" x14ac:dyDescent="0.3">
      <c r="A61" s="10">
        <v>49</v>
      </c>
      <c r="B61">
        <v>8.4</v>
      </c>
      <c r="C61" s="5" t="s">
        <v>71</v>
      </c>
      <c r="D61" s="8">
        <v>48</v>
      </c>
      <c r="E61" t="s">
        <v>15</v>
      </c>
      <c r="F61">
        <v>45</v>
      </c>
      <c r="G61">
        <v>1</v>
      </c>
      <c r="H61">
        <f t="shared" si="0"/>
        <v>45</v>
      </c>
    </row>
    <row r="62" spans="1:60" x14ac:dyDescent="0.3">
      <c r="A62" s="10">
        <v>50</v>
      </c>
      <c r="B62">
        <v>8.5</v>
      </c>
      <c r="C62" s="5" t="s">
        <v>72</v>
      </c>
      <c r="D62" s="8">
        <v>49</v>
      </c>
      <c r="E62" t="s">
        <v>73</v>
      </c>
      <c r="F62">
        <v>46</v>
      </c>
      <c r="G62">
        <v>1</v>
      </c>
      <c r="H62">
        <f t="shared" si="0"/>
        <v>46</v>
      </c>
    </row>
    <row r="63" spans="1:60" ht="21" x14ac:dyDescent="0.4">
      <c r="A63" s="19" t="s">
        <v>87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</row>
    <row r="64" spans="1:60" x14ac:dyDescent="0.3">
      <c r="A64" s="10">
        <v>51</v>
      </c>
      <c r="B64">
        <v>9.1</v>
      </c>
      <c r="C64" s="5" t="s">
        <v>74</v>
      </c>
      <c r="D64" s="8">
        <v>40</v>
      </c>
      <c r="E64" t="s">
        <v>75</v>
      </c>
      <c r="F64">
        <v>37</v>
      </c>
      <c r="G64">
        <v>4</v>
      </c>
      <c r="H64">
        <f t="shared" si="0"/>
        <v>40</v>
      </c>
    </row>
    <row r="65" spans="1:8" x14ac:dyDescent="0.3">
      <c r="A65" s="10">
        <v>52</v>
      </c>
      <c r="B65">
        <v>9.1999999999999993</v>
      </c>
      <c r="C65" s="5" t="s">
        <v>76</v>
      </c>
      <c r="D65" s="8">
        <v>40</v>
      </c>
      <c r="E65" t="s">
        <v>77</v>
      </c>
      <c r="F65">
        <v>37</v>
      </c>
      <c r="G65">
        <v>3</v>
      </c>
      <c r="H65">
        <f t="shared" si="0"/>
        <v>39</v>
      </c>
    </row>
    <row r="66" spans="1:8" x14ac:dyDescent="0.3">
      <c r="A66" s="10">
        <v>53</v>
      </c>
      <c r="B66">
        <v>9.3000000000000007</v>
      </c>
      <c r="C66" s="5" t="s">
        <v>78</v>
      </c>
      <c r="D66" s="8">
        <v>40</v>
      </c>
      <c r="E66" t="s">
        <v>73</v>
      </c>
      <c r="F66">
        <v>37</v>
      </c>
      <c r="G66">
        <v>3</v>
      </c>
      <c r="H66">
        <f t="shared" si="0"/>
        <v>39</v>
      </c>
    </row>
    <row r="67" spans="1:8" x14ac:dyDescent="0.3">
      <c r="A67" s="10">
        <v>54</v>
      </c>
      <c r="B67">
        <v>9.4</v>
      </c>
      <c r="C67" s="5" t="s">
        <v>79</v>
      </c>
      <c r="D67" s="8">
        <v>40</v>
      </c>
      <c r="E67" t="s">
        <v>15</v>
      </c>
      <c r="F67">
        <v>38</v>
      </c>
      <c r="G67">
        <v>4</v>
      </c>
      <c r="H67">
        <f t="shared" si="0"/>
        <v>41</v>
      </c>
    </row>
  </sheetData>
  <mergeCells count="9">
    <mergeCell ref="A39:BH39"/>
    <mergeCell ref="A57:BH57"/>
    <mergeCell ref="A63:BH63"/>
    <mergeCell ref="A45:BH45"/>
    <mergeCell ref="A5:BH5"/>
    <mergeCell ref="A11:BH11"/>
    <mergeCell ref="A16:BH16"/>
    <mergeCell ref="A22:BH22"/>
    <mergeCell ref="A30:BH30"/>
  </mergeCells>
  <conditionalFormatting sqref="J5:BH203">
    <cfRule type="expression" dxfId="11" priority="13" stopIfTrue="1">
      <formula>AND(J$4&gt;=$F5,J$4&lt;=($F5+($G5*$I5/100)-1))</formula>
    </cfRule>
    <cfRule type="expression" dxfId="10" priority="14" stopIfTrue="1">
      <formula>AND(J$4&gt;=$F5,J$4&lt;=$H5,LEFT($B5,1)="1")</formula>
    </cfRule>
    <cfRule type="expression" dxfId="9" priority="15" stopIfTrue="1">
      <formula>AND(J$4&gt;=$F5,J$4&lt;=$H5,LEFT($B5,1)="2")</formula>
    </cfRule>
    <cfRule type="expression" dxfId="8" priority="16" stopIfTrue="1">
      <formula>AND(J$4&gt;=$F5,J$4&lt;=$H5,LEFT($B5,1)="3")</formula>
    </cfRule>
    <cfRule type="expression" dxfId="7" priority="17" stopIfTrue="1">
      <formula>AND(J$4&gt;=$F5,J$4&lt;=$H5,LEFT($B5,1)="4")</formula>
    </cfRule>
    <cfRule type="expression" dxfId="6" priority="18" stopIfTrue="1">
      <formula>AND(J$4&gt;=$F5,J$4&lt;=$H5,LEFT($B5,1)="5")</formula>
    </cfRule>
    <cfRule type="expression" dxfId="5" priority="19" stopIfTrue="1">
      <formula>AND(J$4&gt;=$F5,J$4&lt;=$H5,LEFT($B5,1)="6")</formula>
    </cfRule>
    <cfRule type="expression" dxfId="4" priority="20" stopIfTrue="1">
      <formula>AND(J$4&gt;=$F5,J$4&lt;=$H5,LEFT($B5,1)="7")</formula>
    </cfRule>
    <cfRule type="expression" dxfId="3" priority="21" stopIfTrue="1">
      <formula>AND(J$4&gt;=$F5,J$4&lt;=$H5,LEFT($B5,1)="8")</formula>
    </cfRule>
    <cfRule type="expression" dxfId="2" priority="22" stopIfTrue="1">
      <formula>AND(J$4&gt;=$F5,J$4&lt;=$H5,LEFT($B5,1)="9")</formula>
    </cfRule>
    <cfRule type="expression" dxfId="1" priority="23">
      <formula>AND(J$4&gt;=$F5,J$4&lt;=$H5)</formula>
    </cfRule>
    <cfRule type="expression" dxfId="0" priority="24">
      <formula>J$4=$B$1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JOSAM MARENYE</dc:creator>
  <cp:lastModifiedBy>JOSAM MARENYE</cp:lastModifiedBy>
  <dcterms:created xsi:type="dcterms:W3CDTF">2026-06-01T08:47:57Z</dcterms:created>
  <dcterms:modified xsi:type="dcterms:W3CDTF">2026-06-14T09:23:00Z</dcterms:modified>
</cp:coreProperties>
</file>